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en_skoroszyt"/>
  <mc:AlternateContent xmlns:mc="http://schemas.openxmlformats.org/markup-compatibility/2006">
    <mc:Choice Requires="x15">
      <x15ac:absPath xmlns:x15ac="http://schemas.microsoft.com/office/spreadsheetml/2010/11/ac" url="D:\vba\wybory2\"/>
    </mc:Choice>
  </mc:AlternateContent>
  <xr:revisionPtr revIDLastSave="0" documentId="8_{1F5768A1-A93A-4FB9-9DFE-7914873A602C}" xr6:coauthVersionLast="41" xr6:coauthVersionMax="41" xr10:uidLastSave="{00000000-0000-0000-0000-000000000000}"/>
  <bookViews>
    <workbookView xWindow="-108" yWindow="-108" windowWidth="23256" windowHeight="13176" tabRatio="765" activeTab="5" xr2:uid="{00000000-000D-0000-FFFF-FFFF00000000}"/>
  </bookViews>
  <sheets>
    <sheet name="start" sheetId="262" r:id="rId1"/>
    <sheet name="Dane wejściowe" sheetId="288" r:id="rId2"/>
    <sheet name="Okręg nr 1" sheetId="289" r:id="rId3"/>
    <sheet name="Okręg nr 2" sheetId="290" r:id="rId4"/>
    <sheet name="Okręg nr 3" sheetId="291" r:id="rId5"/>
    <sheet name="Wyniki zbiorcze" sheetId="29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<sst xmlns="http://schemas.openxmlformats.org/spreadsheetml/2006/main" count="52" uniqueCount="33">
  <si>
    <t>Niniejszy program pozwala ustalić wyniki wyborów w systemie proporcjonalnym.</t>
  </si>
  <si>
    <t>Należy podać informacje o ilości okręgów wyborczych, list i progu wyborczym (oraz ew. progach wyborczych dla komitetów mniejszości narodowych i koalicyjnych komitetów wyborczych).</t>
  </si>
  <si>
    <t>Następnie należy podać liczbę wyborców w każdym okręgu - algorytm przypisywania liczby manatów do okręgów jest zgodny z polskim prawem dot. wyborów parlamentarnych.</t>
  </si>
  <si>
    <t xml:space="preserve">W kolejnym kroku wskazuje się komitety mniejszości oraz KKW, jeśli ustalono dla nich specjalny próg wyborczy oraz liczbę kandydatów na poszczególnych listach w poszczególnych okręgach - zgodnie z polskim prawem minimalna możliwa (oprócz zera) to liczba mandatów do zdobycia w okręgu, a maksymalna to dwukrotność tej liczby). </t>
  </si>
  <si>
    <t>Następnie należy uzupełnić wyniki (liczby głosów na poszczególnych kandydatach na poszczególnych listach) w okręgach.</t>
  </si>
  <si>
    <t>Ustalenie którzy kandydaci (nr miejsc na listach) uzyskali mandat.</t>
  </si>
  <si>
    <t>W przyszłości:</t>
  </si>
  <si>
    <t>Być może w przyszłości:</t>
  </si>
  <si>
    <t>Generator do realistycznego uzupełniania danych.</t>
  </si>
  <si>
    <t>W arkuszu z podsumowaniem można ustalić liczby mandatów dla list w okręgach - dostępne są metody d'Hondta i Sainte-Lague.</t>
  </si>
  <si>
    <t>Liczba mandatów do zdobycia</t>
  </si>
  <si>
    <t>Próg wyborczy (%)</t>
  </si>
  <si>
    <t>Próg wyborczy dla komitetów mniejszości (%)</t>
  </si>
  <si>
    <t>nr okręgu</t>
  </si>
  <si>
    <t>liczba uprawnionych do głosowania</t>
  </si>
  <si>
    <t>nr listy</t>
  </si>
  <si>
    <t>Okręg nr 1</t>
  </si>
  <si>
    <t>Okręg nr 2</t>
  </si>
  <si>
    <t>Okręg nr 3</t>
  </si>
  <si>
    <t>liczba mandatów w okręgu</t>
  </si>
  <si>
    <t>KKW</t>
  </si>
  <si>
    <t>mniejszość nar.</t>
  </si>
  <si>
    <t>tak</t>
  </si>
  <si>
    <t>Miejsce na liście</t>
  </si>
  <si>
    <t>Numer listy</t>
  </si>
  <si>
    <t>Suma głosów</t>
  </si>
  <si>
    <t>Procent głosów</t>
  </si>
  <si>
    <t>Frekwencja</t>
  </si>
  <si>
    <t>Głosy nieważne</t>
  </si>
  <si>
    <t>Numer okręgu</t>
  </si>
  <si>
    <t>Liczba mandatów</t>
  </si>
  <si>
    <t>Procent mandatów</t>
  </si>
  <si>
    <t>d'Hondt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</si>
</sst>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7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color rgb="FF00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E1E1E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  <font>
      <b/>
      <sz val="11"/>
      <color rgb="FFE1E1E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rgb="FF00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wrapText="1"/>
    </xf>
    <xf numFmtId="0" fontId="3" fillId="0" borderId="0" xfId="0" applyFont="1"/>
    <xf numFmtId="0" fontId="0" fillId="0" borderId="0" xfId="0" applyProtection="1">
      <protection locked="0"/>
    </xf>
    <xf numFmtId="0" fontId="0" fillId="0" borderId="0" xfId="0" applyAlignment="1">
      <alignment textRotation="90"/>
    </xf>
    <xf numFmtId="0" fontId="2" fillId="0" borderId="0" xfId="0" applyFont="1"/>
    <xf numFmtId="0" fontId="0" fillId="0" borderId="0" xfId="0" applyProtection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1" xfId="0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0" borderId="1" xfId="0" applyFont="1" applyFill="1" applyBorder="1" applyAlignment="1" applyProtection="1">
      <alignment horizontal="center"/>
    </xf>
    <xf numFmtId="10" fontId="3" fillId="0" borderId="1" xfId="0" applyNumberFormat="1" applyFont="1" applyFill="1" applyBorder="1" applyAlignment="1">
      <alignment horizontal="center"/>
    </xf>
    <xf numFmtId="10" fontId="0" fillId="2" borderId="0" xfId="0" applyNumberFormat="1" applyFill="1" applyAlignment="1">
      <alignment horizontal="center"/>
    </xf>
    <xf numFmtId="10" fontId="3" fillId="3" borderId="1" xfId="0" applyNumberFormat="1" applyFont="1" applyFill="1" applyBorder="1" applyAlignment="1">
      <alignment horizontal="center"/>
    </xf>
    <xf numFmtId="10" fontId="3" fillId="2" borderId="0" xfId="0" applyNumberFormat="1" applyFont="1" applyFill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164" fontId="3" fillId="0" borderId="4" xfId="0" applyNumberFormat="1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</cellXfs>
  <cellStyles count="1">
    <cellStyle name="Normalny" xfId="0" builtinId="0"/>
  </cellStyles>
  <dxfs count="1">
    <dxf>
      <border>
        <left style="thin">
          <color rgb="FFFA9696"/>
        </left>
        <right style="thin">
          <color rgb="FFFA9696"/>
        </right>
        <top style="thin">
          <color rgb="FFFA9696"/>
        </top>
        <bottom style="thin">
          <color rgb="FFFA9696"/>
        </bottom>
      </border>
    </dxf>
  </dxfs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1</xdr:row>
          <xdr:rowOff>144780</xdr:rowOff>
        </xdr:from>
        <xdr:to>
          <xdr:col>0</xdr:col>
          <xdr:colOff>1539240</xdr:colOff>
          <xdr:row>3</xdr:row>
          <xdr:rowOff>152400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929640</xdr:colOff>
          <xdr:row>7</xdr:row>
          <xdr:rowOff>137160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91421EC4-52E5-4739-9267-D1C9381DDD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Ustal liczbę mandatów dla każdego okręgu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8</xdr:row>
          <xdr:rowOff>0</xdr:rowOff>
        </xdr:from>
        <xdr:to>
          <xdr:col>12</xdr:col>
          <xdr:colOff>114300</xdr:colOff>
          <xdr:row>10</xdr:row>
          <xdr:rowOff>137160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44E66F8D-CB73-4CEE-ABDA-54841E3530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Utwórz arkusze okręgów wyborczych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</xdr:row>
          <xdr:rowOff>0</xdr:rowOff>
        </xdr:from>
        <xdr:to>
          <xdr:col>1</xdr:col>
          <xdr:colOff>525780</xdr:colOff>
          <xdr:row>22</xdr:row>
          <xdr:rowOff>137160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6881AF31-FCB0-4A1E-9282-80ACE36075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Podsumuj okręg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</xdr:row>
          <xdr:rowOff>0</xdr:rowOff>
        </xdr:from>
        <xdr:to>
          <xdr:col>1</xdr:col>
          <xdr:colOff>525780</xdr:colOff>
          <xdr:row>18</xdr:row>
          <xdr:rowOff>137160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97BC1624-28F8-44E6-B56E-280C9BFBA2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Podsumuj okręg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</xdr:row>
          <xdr:rowOff>0</xdr:rowOff>
        </xdr:from>
        <xdr:to>
          <xdr:col>1</xdr:col>
          <xdr:colOff>525780</xdr:colOff>
          <xdr:row>24</xdr:row>
          <xdr:rowOff>137160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C6134416-E551-4028-AA46-86C90C9F98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Podsumuj okręg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10</xdr:col>
          <xdr:colOff>304800</xdr:colOff>
          <xdr:row>4</xdr:row>
          <xdr:rowOff>137160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6FED3E2E-0040-4B8F-B6E5-3CC0B4134B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Przelicz wyniki w okręgach i pobierz dane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0</xdr:rowOff>
        </xdr:from>
        <xdr:to>
          <xdr:col>10</xdr:col>
          <xdr:colOff>312420</xdr:colOff>
          <xdr:row>13</xdr:row>
          <xdr:rowOff>137160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A1E8C538-21AE-448B-AC8C-C6803D5BA8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Ustal liczbę mandatów metodą d'Hondta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11</xdr:row>
          <xdr:rowOff>0</xdr:rowOff>
        </xdr:from>
        <xdr:to>
          <xdr:col>13</xdr:col>
          <xdr:colOff>304800</xdr:colOff>
          <xdr:row>13</xdr:row>
          <xdr:rowOff>137160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EB216627-D194-4FD2-A7C5-FD8C77F118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Ustal liczbę mandatów metodą Sainte-Lague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3"/>
  <dimension ref="A6:A19"/>
  <sheetViews>
    <sheetView workbookViewId="0">
      <selection activeCell="A7" sqref="A7"/>
    </sheetView>
  </sheetViews>
  <sheetFormatPr defaultRowHeight="14.4" x14ac:dyDescent="0.3"/>
  <cols>
    <col min="1" max="1" width="85.44140625" customWidth="1"/>
  </cols>
  <sheetData>
    <row r="6" spans="1:1" x14ac:dyDescent="0.3">
      <c r="A6" s="1" t="s">
        <v>0</v>
      </c>
    </row>
    <row r="7" spans="1:1" ht="28.8" x14ac:dyDescent="0.3">
      <c r="A7" s="1" t="s">
        <v>1</v>
      </c>
    </row>
    <row r="8" spans="1:1" ht="28.8" x14ac:dyDescent="0.3">
      <c r="A8" s="1" t="s">
        <v>2</v>
      </c>
    </row>
    <row r="9" spans="1:1" ht="57.6" x14ac:dyDescent="0.3">
      <c r="A9" s="1" t="s">
        <v>3</v>
      </c>
    </row>
    <row r="10" spans="1:1" ht="28.8" x14ac:dyDescent="0.3">
      <c r="A10" s="1" t="s">
        <v>4</v>
      </c>
    </row>
    <row r="11" spans="1:1" ht="28.8" x14ac:dyDescent="0.3">
      <c r="A11" s="1" t="s">
        <v>9</v>
      </c>
    </row>
    <row r="14" spans="1:1" x14ac:dyDescent="0.3">
      <c r="A14" t="s">
        <v>6</v>
      </c>
    </row>
    <row r="15" spans="1:1" x14ac:dyDescent="0.3">
      <c r="A15" t="s">
        <v>5</v>
      </c>
    </row>
    <row r="18" spans="1:1" x14ac:dyDescent="0.3">
      <c r="A18" t="s">
        <v>7</v>
      </c>
    </row>
    <row r="19" spans="1:1" x14ac:dyDescent="0.3">
      <c r="A19" t="s">
        <v>8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rzycisk_start">
                <anchor moveWithCells="1" sizeWithCells="1">
                  <from>
                    <xdr:col>0</xdr:col>
                    <xdr:colOff>457200</xdr:colOff>
                    <xdr:row>1</xdr:row>
                    <xdr:rowOff>144780</xdr:rowOff>
                  </from>
                  <to>
                    <xdr:col>0</xdr:col>
                    <xdr:colOff>1539240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882C7-00C6-4850-B223-B2A30F568094}">
  <sheetPr codeName="Arkusz27"/>
  <dimension ref="A1:N7"/>
  <sheetViews>
    <sheetView workbookViewId="0">
      <selection activeCell="K7" sqref="K7"/>
    </sheetView>
  </sheetViews>
  <sheetFormatPr defaultRowHeight="14.4" x14ac:dyDescent="0.3"/>
  <cols>
    <col min="1" max="1" width="38.44140625" bestFit="1" customWidth="1"/>
    <col min="2" max="2" width="3" style="2" bestFit="1" customWidth="1"/>
    <col min="4" max="4" width="8.6640625" bestFit="1" customWidth="1"/>
    <col min="5" max="5" width="17.6640625" bestFit="1" customWidth="1"/>
    <col min="6" max="6" width="16.77734375" customWidth="1"/>
    <col min="8" max="8" width="6.33203125" style="5" bestFit="1" customWidth="1"/>
    <col min="9" max="9" width="3.5546875" hidden="1" customWidth="1"/>
    <col min="10" max="13" width="3.5546875" bestFit="1" customWidth="1"/>
  </cols>
  <sheetData>
    <row r="1" spans="1:14" ht="73.2" x14ac:dyDescent="0.3">
      <c r="A1" t="s">
        <v>10</v>
      </c>
      <c r="B1" s="2">
        <v>20</v>
      </c>
      <c r="D1" t="s">
        <v>13</v>
      </c>
      <c r="E1" s="1" t="s">
        <v>14</v>
      </c>
      <c r="F1" s="1" t="s">
        <v>19</v>
      </c>
      <c r="H1" s="5" t="s">
        <v>15</v>
      </c>
      <c r="I1" s="4" t="s">
        <v>20</v>
      </c>
      <c r="J1" s="4" t="s">
        <v>21</v>
      </c>
      <c r="K1" s="4" t="s">
        <v>16</v>
      </c>
      <c r="L1" s="4" t="s">
        <v>17</v>
      </c>
      <c r="M1" s="4" t="s">
        <v>18</v>
      </c>
      <c r="N1" s="4"/>
    </row>
    <row r="2" spans="1:14" x14ac:dyDescent="0.3">
      <c r="A2" t="s">
        <v>11</v>
      </c>
      <c r="B2" s="2">
        <v>5</v>
      </c>
      <c r="D2">
        <v>1</v>
      </c>
      <c r="E2" s="3">
        <v>105876</v>
      </c>
      <c r="F2" s="2">
        <v>7</v>
      </c>
      <c r="H2" s="5">
        <v>1</v>
      </c>
      <c r="I2" s="6"/>
      <c r="J2" s="3"/>
      <c r="K2" s="3">
        <v>14</v>
      </c>
      <c r="L2" s="3">
        <v>10</v>
      </c>
      <c r="M2" s="3">
        <v>16</v>
      </c>
    </row>
    <row r="3" spans="1:14" x14ac:dyDescent="0.3">
      <c r="A3" t="s">
        <v>12</v>
      </c>
      <c r="B3" s="2">
        <v>1</v>
      </c>
      <c r="D3">
        <v>2</v>
      </c>
      <c r="E3" s="3">
        <v>76897</v>
      </c>
      <c r="F3" s="2">
        <v>5</v>
      </c>
      <c r="H3" s="5">
        <v>2</v>
      </c>
      <c r="I3" s="6"/>
      <c r="J3" s="3"/>
      <c r="K3" s="3">
        <v>14</v>
      </c>
      <c r="L3" s="3">
        <v>10</v>
      </c>
      <c r="M3" s="3">
        <v>16</v>
      </c>
    </row>
    <row r="4" spans="1:14" x14ac:dyDescent="0.3">
      <c r="D4">
        <v>3</v>
      </c>
      <c r="E4" s="3">
        <v>112044</v>
      </c>
      <c r="F4" s="2">
        <v>8</v>
      </c>
      <c r="H4" s="5">
        <v>3</v>
      </c>
      <c r="I4" s="6"/>
      <c r="J4" s="3"/>
      <c r="K4" s="3">
        <v>14</v>
      </c>
      <c r="L4" s="3">
        <v>7</v>
      </c>
      <c r="M4" s="3">
        <v>9</v>
      </c>
    </row>
    <row r="5" spans="1:14" x14ac:dyDescent="0.3">
      <c r="H5" s="5">
        <v>4</v>
      </c>
      <c r="I5" s="6"/>
      <c r="J5" s="3"/>
      <c r="K5" s="3">
        <v>13</v>
      </c>
      <c r="L5" s="3">
        <v>10</v>
      </c>
      <c r="M5" s="3">
        <v>15</v>
      </c>
    </row>
    <row r="6" spans="1:14" x14ac:dyDescent="0.3">
      <c r="H6" s="5">
        <v>5</v>
      </c>
      <c r="I6" s="6"/>
      <c r="J6" s="3"/>
      <c r="K6" s="3">
        <v>14</v>
      </c>
      <c r="L6" s="3">
        <v>10</v>
      </c>
      <c r="M6" s="3">
        <v>12</v>
      </c>
    </row>
    <row r="7" spans="1:14" x14ac:dyDescent="0.3">
      <c r="H7" s="5">
        <v>6</v>
      </c>
      <c r="I7" s="6"/>
      <c r="J7" s="3" t="s">
        <v>22</v>
      </c>
      <c r="K7" s="3">
        <v>0</v>
      </c>
      <c r="L7" s="3">
        <v>10</v>
      </c>
      <c r="M7" s="3">
        <v>8</v>
      </c>
    </row>
  </sheetData>
  <sheetProtection sheet="1" objects="1" scenarios="1"/>
  <conditionalFormatting sqref="E2:E4">
    <cfRule type="cellIs" dxfId="0" priority="1" stopIfTrue="1" operator="equal">
      <formula>0</formula>
    </cfRule>
  </conditionalFormatting>
  <dataValidations count="4">
    <dataValidation type="list" allowBlank="1" showInputMessage="1" showErrorMessage="1" sqref="K2:K7" xr:uid="{F8A34E31-14F6-487B-A3BA-AB12CFA80E12}">
      <formula1>"0,7,,8,9,10,11,12,13,14"</formula1>
    </dataValidation>
    <dataValidation type="list" allowBlank="1" showInputMessage="1" showErrorMessage="1" sqref="I2:J7" xr:uid="{EC9572E6-239A-4166-B97E-539528240952}">
      <formula1>" ,tak"</formula1>
    </dataValidation>
    <dataValidation type="list" allowBlank="1" showInputMessage="1" showErrorMessage="1" sqref="L2:L7" xr:uid="{08D5D30D-7CAC-4335-8675-D46DF91672B7}">
      <formula1>"0,5,,6,7,8,9,10"</formula1>
    </dataValidation>
    <dataValidation type="list" allowBlank="1" showInputMessage="1" showErrorMessage="1" sqref="M2:M7" xr:uid="{0833436E-A138-4641-9942-D78E410FB8AC}">
      <formula1>"0,8,,9,10,11,12,13,14,15,16"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okreslenie_liczby_mandatow_na_okreg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929640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tworzenie_arkuszy_okregow">
                <anchor moveWithCells="1" siz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12</xdr:col>
                    <xdr:colOff>114300</xdr:colOff>
                    <xdr:row>10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C1F4C-D074-469B-8C6B-3A1FC114DC70}">
  <sheetPr codeName="Arkusz28"/>
  <dimension ref="A1:I19"/>
  <sheetViews>
    <sheetView workbookViewId="0">
      <selection activeCell="F17" sqref="F17"/>
    </sheetView>
  </sheetViews>
  <sheetFormatPr defaultRowHeight="14.4" x14ac:dyDescent="0.3"/>
  <cols>
    <col min="1" max="1" width="14.5546875" style="7" bestFit="1" customWidth="1"/>
    <col min="2" max="7" width="8.77734375" style="7" customWidth="1"/>
    <col min="8" max="8" width="14.109375" style="7" bestFit="1" customWidth="1"/>
    <col min="9" max="9" width="8.77734375" style="7" customWidth="1"/>
    <col min="10" max="16384" width="8.88671875" style="7"/>
  </cols>
  <sheetData>
    <row r="1" spans="1:9" x14ac:dyDescent="0.3">
      <c r="A1" s="17">
        <v>1</v>
      </c>
      <c r="B1" s="12" t="s">
        <v>24</v>
      </c>
      <c r="C1" s="8"/>
      <c r="D1" s="8"/>
      <c r="E1" s="8"/>
      <c r="F1" s="8"/>
      <c r="G1" s="8"/>
      <c r="H1" s="13" t="s">
        <v>28</v>
      </c>
      <c r="I1" s="9">
        <v>741</v>
      </c>
    </row>
    <row r="2" spans="1:9" x14ac:dyDescent="0.3">
      <c r="A2" s="13" t="s">
        <v>23</v>
      </c>
      <c r="B2" s="18">
        <v>1</v>
      </c>
      <c r="C2" s="18">
        <v>2</v>
      </c>
      <c r="D2" s="18">
        <v>3</v>
      </c>
      <c r="E2" s="18">
        <v>4</v>
      </c>
      <c r="F2" s="18">
        <v>5</v>
      </c>
      <c r="G2" s="18">
        <v>6</v>
      </c>
    </row>
    <row r="3" spans="1:9" x14ac:dyDescent="0.3">
      <c r="A3" s="13">
        <v>1</v>
      </c>
      <c r="B3" s="9">
        <v>14741</v>
      </c>
      <c r="C3" s="9">
        <v>8456</v>
      </c>
      <c r="D3" s="9">
        <v>268</v>
      </c>
      <c r="E3" s="9">
        <v>4798</v>
      </c>
      <c r="F3" s="9">
        <v>2115</v>
      </c>
    </row>
    <row r="4" spans="1:9" x14ac:dyDescent="0.3">
      <c r="A4" s="13">
        <v>2</v>
      </c>
      <c r="B4" s="9">
        <v>1623</v>
      </c>
      <c r="C4" s="9">
        <v>4885</v>
      </c>
      <c r="D4" s="9">
        <v>105</v>
      </c>
      <c r="E4" s="9">
        <v>1988</v>
      </c>
      <c r="F4" s="9">
        <v>321</v>
      </c>
    </row>
    <row r="5" spans="1:9" x14ac:dyDescent="0.3">
      <c r="A5" s="13">
        <v>3</v>
      </c>
      <c r="B5" s="9">
        <v>1689</v>
      </c>
      <c r="C5" s="9">
        <v>3545</v>
      </c>
      <c r="D5" s="9">
        <v>198</v>
      </c>
      <c r="E5" s="9">
        <v>698</v>
      </c>
      <c r="F5" s="9">
        <v>322</v>
      </c>
    </row>
    <row r="6" spans="1:9" x14ac:dyDescent="0.3">
      <c r="A6" s="13">
        <v>4</v>
      </c>
      <c r="B6" s="9">
        <v>2451</v>
      </c>
      <c r="C6" s="9">
        <v>1988</v>
      </c>
      <c r="D6" s="9">
        <v>85</v>
      </c>
      <c r="E6" s="9">
        <v>874</v>
      </c>
      <c r="F6" s="9">
        <v>521</v>
      </c>
    </row>
    <row r="7" spans="1:9" x14ac:dyDescent="0.3">
      <c r="A7" s="13">
        <v>5</v>
      </c>
      <c r="B7" s="9">
        <v>854</v>
      </c>
      <c r="C7" s="9">
        <v>988</v>
      </c>
      <c r="D7" s="9">
        <v>147</v>
      </c>
      <c r="E7" s="9">
        <v>105</v>
      </c>
      <c r="F7" s="9">
        <v>104</v>
      </c>
    </row>
    <row r="8" spans="1:9" x14ac:dyDescent="0.3">
      <c r="A8" s="13">
        <v>6</v>
      </c>
      <c r="B8" s="9">
        <v>622</v>
      </c>
      <c r="C8" s="9">
        <v>715</v>
      </c>
      <c r="D8" s="9">
        <v>205</v>
      </c>
      <c r="E8" s="9">
        <v>477</v>
      </c>
      <c r="F8" s="9">
        <v>142</v>
      </c>
    </row>
    <row r="9" spans="1:9" x14ac:dyDescent="0.3">
      <c r="A9" s="13">
        <v>7</v>
      </c>
      <c r="B9" s="9">
        <v>321</v>
      </c>
      <c r="C9" s="9">
        <v>239</v>
      </c>
      <c r="D9" s="9">
        <v>66</v>
      </c>
      <c r="E9" s="9">
        <v>521</v>
      </c>
      <c r="F9" s="9">
        <v>390</v>
      </c>
    </row>
    <row r="10" spans="1:9" x14ac:dyDescent="0.3">
      <c r="A10" s="13">
        <v>8</v>
      </c>
      <c r="B10" s="9">
        <v>524</v>
      </c>
      <c r="C10" s="9">
        <v>541</v>
      </c>
      <c r="D10" s="9">
        <v>25</v>
      </c>
      <c r="E10" s="9">
        <v>336</v>
      </c>
      <c r="F10" s="9">
        <v>321</v>
      </c>
    </row>
    <row r="11" spans="1:9" x14ac:dyDescent="0.3">
      <c r="A11" s="13">
        <v>9</v>
      </c>
      <c r="B11" s="9">
        <v>147</v>
      </c>
      <c r="C11" s="9">
        <v>321</v>
      </c>
      <c r="D11" s="9">
        <v>74</v>
      </c>
      <c r="E11" s="9">
        <v>62</v>
      </c>
      <c r="F11" s="9">
        <v>417</v>
      </c>
    </row>
    <row r="12" spans="1:9" x14ac:dyDescent="0.3">
      <c r="A12" s="13">
        <v>10</v>
      </c>
      <c r="B12" s="9">
        <v>412</v>
      </c>
      <c r="C12" s="9">
        <v>88</v>
      </c>
      <c r="D12" s="9">
        <v>44</v>
      </c>
      <c r="E12" s="9">
        <v>85</v>
      </c>
      <c r="F12" s="9">
        <v>202</v>
      </c>
    </row>
    <row r="13" spans="1:9" x14ac:dyDescent="0.3">
      <c r="A13" s="13">
        <v>11</v>
      </c>
      <c r="B13" s="9">
        <v>321</v>
      </c>
      <c r="C13" s="9">
        <v>152</v>
      </c>
      <c r="D13" s="9">
        <v>68</v>
      </c>
      <c r="E13" s="9">
        <v>104</v>
      </c>
      <c r="F13" s="9">
        <v>252</v>
      </c>
    </row>
    <row r="14" spans="1:9" x14ac:dyDescent="0.3">
      <c r="A14" s="13">
        <v>12</v>
      </c>
      <c r="B14" s="9">
        <v>254</v>
      </c>
      <c r="C14" s="9">
        <v>211</v>
      </c>
      <c r="D14" s="9">
        <v>22</v>
      </c>
      <c r="E14" s="9">
        <v>561</v>
      </c>
      <c r="F14" s="9">
        <v>147</v>
      </c>
    </row>
    <row r="15" spans="1:9" x14ac:dyDescent="0.3">
      <c r="A15" s="13">
        <v>13</v>
      </c>
      <c r="B15" s="9">
        <v>988</v>
      </c>
      <c r="C15" s="9">
        <v>621</v>
      </c>
      <c r="D15" s="9">
        <v>98</v>
      </c>
      <c r="E15" s="9">
        <v>212</v>
      </c>
      <c r="F15" s="9">
        <v>99</v>
      </c>
    </row>
    <row r="16" spans="1:9" ht="15" thickBot="1" x14ac:dyDescent="0.35">
      <c r="A16" s="14">
        <v>14</v>
      </c>
      <c r="B16" s="10">
        <v>474</v>
      </c>
      <c r="C16" s="10">
        <v>1035</v>
      </c>
      <c r="D16" s="10">
        <v>151</v>
      </c>
      <c r="F16" s="10">
        <v>222</v>
      </c>
    </row>
    <row r="17" spans="1:8" x14ac:dyDescent="0.3">
      <c r="A17" s="16" t="s">
        <v>25</v>
      </c>
      <c r="B17" s="16">
        <v>25421</v>
      </c>
      <c r="C17" s="16">
        <v>23785</v>
      </c>
      <c r="D17" s="16">
        <v>1556</v>
      </c>
      <c r="E17" s="16">
        <v>10821</v>
      </c>
      <c r="F17" s="16">
        <v>5575</v>
      </c>
      <c r="G17" s="16">
        <v>0</v>
      </c>
    </row>
    <row r="18" spans="1:8" x14ac:dyDescent="0.3">
      <c r="A18" s="13" t="s">
        <v>26</v>
      </c>
      <c r="B18" s="19">
        <v>0.3785252687691712</v>
      </c>
      <c r="C18" s="19">
        <v>0.3541648053843176</v>
      </c>
      <c r="D18" s="19">
        <v>2.3169242681437805E-2</v>
      </c>
      <c r="E18" s="19">
        <v>0.16112749039578309</v>
      </c>
      <c r="F18" s="19">
        <v>8.3013192769290325E-2</v>
      </c>
      <c r="G18" s="19">
        <v>0</v>
      </c>
      <c r="H18" s="20"/>
    </row>
    <row r="19" spans="1:8" x14ac:dyDescent="0.3">
      <c r="A19" s="13" t="s">
        <v>27</v>
      </c>
      <c r="B19" s="19">
        <v>0.64130681174203785</v>
      </c>
      <c r="C19" s="20"/>
      <c r="D19" s="20"/>
      <c r="E19" s="20"/>
      <c r="F19" s="20"/>
      <c r="G19" s="20"/>
      <c r="H19" s="20"/>
    </row>
  </sheetData>
  <sheetProtection sheet="1" objects="1" scenarios="1"/>
  <mergeCells count="1">
    <mergeCell ref="B1:G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suma_w_okregu">
                <anchor moveWithCells="1" siz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525780</xdr:colOff>
                    <xdr:row>22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2D533-A115-490B-8323-E491D817BE37}">
  <sheetPr codeName="Arkusz29"/>
  <dimension ref="A1:I15"/>
  <sheetViews>
    <sheetView workbookViewId="0">
      <selection activeCell="A20" sqref="A20"/>
    </sheetView>
  </sheetViews>
  <sheetFormatPr defaultRowHeight="14.4" x14ac:dyDescent="0.3"/>
  <cols>
    <col min="1" max="1" width="14.5546875" style="7" bestFit="1" customWidth="1"/>
    <col min="2" max="7" width="8.77734375" style="7" customWidth="1"/>
    <col min="8" max="8" width="14.109375" style="7" bestFit="1" customWidth="1"/>
    <col min="9" max="9" width="8.77734375" style="7" customWidth="1"/>
    <col min="10" max="16384" width="8.88671875" style="7"/>
  </cols>
  <sheetData>
    <row r="1" spans="1:9" x14ac:dyDescent="0.3">
      <c r="A1" s="17">
        <v>2</v>
      </c>
      <c r="B1" s="12" t="s">
        <v>24</v>
      </c>
      <c r="C1" s="8"/>
      <c r="D1" s="8"/>
      <c r="E1" s="8"/>
      <c r="F1" s="8"/>
      <c r="G1" s="8"/>
      <c r="H1" s="13" t="s">
        <v>28</v>
      </c>
      <c r="I1" s="9">
        <v>980</v>
      </c>
    </row>
    <row r="2" spans="1:9" x14ac:dyDescent="0.3">
      <c r="A2" s="13" t="s">
        <v>23</v>
      </c>
      <c r="B2" s="18">
        <v>1</v>
      </c>
      <c r="C2" s="18">
        <v>2</v>
      </c>
      <c r="D2" s="18">
        <v>3</v>
      </c>
      <c r="E2" s="18">
        <v>4</v>
      </c>
      <c r="F2" s="18">
        <v>5</v>
      </c>
      <c r="G2" s="18">
        <v>6</v>
      </c>
    </row>
    <row r="3" spans="1:9" x14ac:dyDescent="0.3">
      <c r="A3" s="13">
        <v>1</v>
      </c>
      <c r="B3" s="9">
        <v>10001</v>
      </c>
      <c r="C3" s="9">
        <v>7400</v>
      </c>
      <c r="D3" s="9">
        <v>289</v>
      </c>
      <c r="E3" s="9">
        <v>2355</v>
      </c>
      <c r="F3" s="9">
        <v>1095</v>
      </c>
      <c r="G3" s="9">
        <v>2634</v>
      </c>
    </row>
    <row r="4" spans="1:9" x14ac:dyDescent="0.3">
      <c r="A4" s="13">
        <v>2</v>
      </c>
      <c r="B4" s="9">
        <v>3221</v>
      </c>
      <c r="C4" s="9">
        <v>3331</v>
      </c>
      <c r="D4" s="9">
        <v>103</v>
      </c>
      <c r="E4" s="9">
        <v>3300</v>
      </c>
      <c r="F4" s="9">
        <v>321</v>
      </c>
      <c r="G4" s="9">
        <v>1085</v>
      </c>
    </row>
    <row r="5" spans="1:9" x14ac:dyDescent="0.3">
      <c r="A5" s="13">
        <v>3</v>
      </c>
      <c r="B5" s="9">
        <v>1400</v>
      </c>
      <c r="C5" s="9">
        <v>5213</v>
      </c>
      <c r="D5" s="9">
        <v>54</v>
      </c>
      <c r="E5" s="9">
        <v>587</v>
      </c>
      <c r="F5" s="9">
        <v>141</v>
      </c>
      <c r="G5" s="9">
        <v>404</v>
      </c>
    </row>
    <row r="6" spans="1:9" x14ac:dyDescent="0.3">
      <c r="A6" s="13">
        <v>4</v>
      </c>
      <c r="B6" s="9">
        <v>523</v>
      </c>
      <c r="C6" s="9">
        <v>474</v>
      </c>
      <c r="D6" s="9">
        <v>41</v>
      </c>
      <c r="E6" s="9">
        <v>477</v>
      </c>
      <c r="F6" s="9">
        <v>225</v>
      </c>
      <c r="G6" s="9">
        <v>551</v>
      </c>
    </row>
    <row r="7" spans="1:9" x14ac:dyDescent="0.3">
      <c r="A7" s="13">
        <v>5</v>
      </c>
      <c r="B7" s="9">
        <v>222</v>
      </c>
      <c r="C7" s="9">
        <v>807</v>
      </c>
      <c r="D7" s="9">
        <v>36</v>
      </c>
      <c r="E7" s="9">
        <v>235</v>
      </c>
      <c r="F7" s="9">
        <v>265</v>
      </c>
      <c r="G7" s="9">
        <v>325</v>
      </c>
    </row>
    <row r="8" spans="1:9" x14ac:dyDescent="0.3">
      <c r="A8" s="13">
        <v>6</v>
      </c>
      <c r="B8" s="9">
        <v>514</v>
      </c>
      <c r="C8" s="9">
        <v>329</v>
      </c>
      <c r="D8" s="9">
        <v>66</v>
      </c>
      <c r="E8" s="9">
        <v>562</v>
      </c>
      <c r="F8" s="9">
        <v>70</v>
      </c>
      <c r="G8" s="9">
        <v>146</v>
      </c>
    </row>
    <row r="9" spans="1:9" x14ac:dyDescent="0.3">
      <c r="A9" s="13">
        <v>7</v>
      </c>
      <c r="B9" s="9">
        <v>414</v>
      </c>
      <c r="C9" s="9">
        <v>122</v>
      </c>
      <c r="D9" s="9">
        <v>52</v>
      </c>
      <c r="E9" s="9">
        <v>66</v>
      </c>
      <c r="F9" s="9">
        <v>146</v>
      </c>
      <c r="G9" s="9">
        <v>211</v>
      </c>
    </row>
    <row r="10" spans="1:9" x14ac:dyDescent="0.3">
      <c r="A10" s="13">
        <v>8</v>
      </c>
      <c r="B10" s="9">
        <v>444</v>
      </c>
      <c r="C10" s="9">
        <v>907</v>
      </c>
      <c r="E10" s="9">
        <v>198</v>
      </c>
      <c r="F10" s="9">
        <v>201</v>
      </c>
      <c r="G10" s="9">
        <v>400</v>
      </c>
    </row>
    <row r="11" spans="1:9" x14ac:dyDescent="0.3">
      <c r="A11" s="13">
        <v>9</v>
      </c>
      <c r="B11" s="9">
        <v>122</v>
      </c>
      <c r="C11" s="9">
        <v>55</v>
      </c>
      <c r="E11" s="9">
        <v>144</v>
      </c>
      <c r="F11" s="9">
        <v>56</v>
      </c>
      <c r="G11" s="9">
        <v>68</v>
      </c>
    </row>
    <row r="12" spans="1:9" ht="15" thickBot="1" x14ac:dyDescent="0.35">
      <c r="A12" s="14">
        <v>10</v>
      </c>
      <c r="B12" s="10">
        <v>351</v>
      </c>
      <c r="C12" s="10">
        <v>805</v>
      </c>
      <c r="E12" s="10">
        <v>205</v>
      </c>
      <c r="F12" s="10">
        <v>189</v>
      </c>
      <c r="G12" s="10">
        <v>141</v>
      </c>
    </row>
    <row r="13" spans="1:9" x14ac:dyDescent="0.3">
      <c r="A13" s="16" t="s">
        <v>25</v>
      </c>
      <c r="B13" s="16">
        <v>17212</v>
      </c>
      <c r="C13" s="16">
        <v>19443</v>
      </c>
      <c r="D13" s="16">
        <v>641</v>
      </c>
      <c r="E13" s="16">
        <v>8129</v>
      </c>
      <c r="F13" s="16">
        <v>2709</v>
      </c>
      <c r="G13" s="16">
        <v>5965</v>
      </c>
    </row>
    <row r="14" spans="1:9" x14ac:dyDescent="0.3">
      <c r="A14" s="13" t="s">
        <v>26</v>
      </c>
      <c r="B14" s="19">
        <v>0.31815745207859664</v>
      </c>
      <c r="C14" s="19">
        <v>0.35939666167581658</v>
      </c>
      <c r="D14" s="19">
        <v>1.1848647849313295E-2</v>
      </c>
      <c r="E14" s="19">
        <v>0.15026155751492634</v>
      </c>
      <c r="F14" s="19">
        <v>5.0074862751622026E-2</v>
      </c>
      <c r="G14" s="19">
        <v>0.11026081812972513</v>
      </c>
      <c r="H14" s="20"/>
    </row>
    <row r="15" spans="1:9" x14ac:dyDescent="0.3">
      <c r="A15" s="13" t="s">
        <v>27</v>
      </c>
      <c r="B15" s="19">
        <v>0.7162698154674435</v>
      </c>
      <c r="C15" s="20"/>
      <c r="D15" s="20"/>
      <c r="E15" s="20"/>
      <c r="F15" s="20"/>
      <c r="G15" s="20"/>
      <c r="H15" s="20"/>
    </row>
  </sheetData>
  <sheetProtection sheet="1" objects="1" scenarios="1"/>
  <mergeCells count="1">
    <mergeCell ref="B1:G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suma_w_okregu">
                <anchor moveWithCells="1" siz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525780</xdr:colOff>
                    <xdr:row>18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3E809-059E-4903-B062-B678B8601D69}">
  <sheetPr codeName="Arkusz30"/>
  <dimension ref="A1:I21"/>
  <sheetViews>
    <sheetView workbookViewId="0">
      <selection activeCell="C16" sqref="C16"/>
    </sheetView>
  </sheetViews>
  <sheetFormatPr defaultRowHeight="14.4" x14ac:dyDescent="0.3"/>
  <cols>
    <col min="1" max="1" width="14.5546875" style="7" bestFit="1" customWidth="1"/>
    <col min="2" max="7" width="8.77734375" style="7" customWidth="1"/>
    <col min="8" max="8" width="14.109375" style="7" bestFit="1" customWidth="1"/>
    <col min="9" max="9" width="8.77734375" style="7" customWidth="1"/>
    <col min="10" max="16384" width="8.88671875" style="7"/>
  </cols>
  <sheetData>
    <row r="1" spans="1:9" x14ac:dyDescent="0.3">
      <c r="A1" s="17">
        <v>3</v>
      </c>
      <c r="B1" s="12" t="s">
        <v>24</v>
      </c>
      <c r="C1" s="8"/>
      <c r="D1" s="8"/>
      <c r="E1" s="8"/>
      <c r="F1" s="8"/>
      <c r="G1" s="8"/>
      <c r="H1" s="13" t="s">
        <v>28</v>
      </c>
      <c r="I1" s="9">
        <v>894</v>
      </c>
    </row>
    <row r="2" spans="1:9" x14ac:dyDescent="0.3">
      <c r="A2" s="13" t="s">
        <v>23</v>
      </c>
      <c r="B2" s="18">
        <v>1</v>
      </c>
      <c r="C2" s="18">
        <v>2</v>
      </c>
      <c r="D2" s="18">
        <v>3</v>
      </c>
      <c r="E2" s="18">
        <v>4</v>
      </c>
      <c r="F2" s="18">
        <v>5</v>
      </c>
      <c r="G2" s="18">
        <v>6</v>
      </c>
    </row>
    <row r="3" spans="1:9" x14ac:dyDescent="0.3">
      <c r="A3" s="13">
        <v>1</v>
      </c>
      <c r="B3" s="9">
        <v>6400</v>
      </c>
      <c r="C3" s="9">
        <v>21516</v>
      </c>
      <c r="D3" s="9">
        <v>698</v>
      </c>
      <c r="E3" s="9">
        <v>7006</v>
      </c>
      <c r="F3" s="9">
        <v>1185</v>
      </c>
      <c r="G3" s="9">
        <v>321</v>
      </c>
    </row>
    <row r="4" spans="1:9" x14ac:dyDescent="0.3">
      <c r="A4" s="13">
        <v>2</v>
      </c>
      <c r="B4" s="9">
        <v>7474</v>
      </c>
      <c r="C4" s="9">
        <v>1356</v>
      </c>
      <c r="D4" s="9">
        <v>68</v>
      </c>
      <c r="E4" s="9">
        <v>2155</v>
      </c>
      <c r="F4" s="9">
        <v>2086</v>
      </c>
      <c r="G4" s="9">
        <v>123</v>
      </c>
    </row>
    <row r="5" spans="1:9" x14ac:dyDescent="0.3">
      <c r="A5" s="13">
        <v>3</v>
      </c>
      <c r="B5" s="9">
        <v>3684</v>
      </c>
      <c r="C5" s="9">
        <v>2600</v>
      </c>
      <c r="D5" s="9">
        <v>165</v>
      </c>
      <c r="E5" s="9">
        <v>1189</v>
      </c>
      <c r="F5" s="9">
        <v>365</v>
      </c>
      <c r="G5" s="9">
        <v>102</v>
      </c>
    </row>
    <row r="6" spans="1:9" x14ac:dyDescent="0.3">
      <c r="A6" s="13">
        <v>4</v>
      </c>
      <c r="B6" s="9">
        <v>1001</v>
      </c>
      <c r="C6" s="9">
        <v>700</v>
      </c>
      <c r="D6" s="9">
        <v>102</v>
      </c>
      <c r="E6" s="9">
        <v>598</v>
      </c>
      <c r="F6" s="9">
        <v>471</v>
      </c>
      <c r="G6" s="9">
        <v>51</v>
      </c>
    </row>
    <row r="7" spans="1:9" x14ac:dyDescent="0.3">
      <c r="A7" s="13">
        <v>5</v>
      </c>
      <c r="B7" s="9">
        <v>625</v>
      </c>
      <c r="C7" s="9">
        <v>524</v>
      </c>
      <c r="D7" s="9">
        <v>41</v>
      </c>
      <c r="E7" s="9">
        <v>322</v>
      </c>
      <c r="F7" s="9">
        <v>521</v>
      </c>
      <c r="G7" s="9">
        <v>103</v>
      </c>
    </row>
    <row r="8" spans="1:9" x14ac:dyDescent="0.3">
      <c r="A8" s="13">
        <v>6</v>
      </c>
      <c r="B8" s="9">
        <v>1600</v>
      </c>
      <c r="C8" s="9">
        <v>269</v>
      </c>
      <c r="D8" s="9">
        <v>33</v>
      </c>
      <c r="E8" s="9">
        <v>1098</v>
      </c>
      <c r="F8" s="9">
        <v>322</v>
      </c>
      <c r="G8" s="9">
        <v>201</v>
      </c>
    </row>
    <row r="9" spans="1:9" x14ac:dyDescent="0.3">
      <c r="A9" s="13">
        <v>7</v>
      </c>
      <c r="B9" s="9">
        <v>898</v>
      </c>
      <c r="C9" s="9">
        <v>584</v>
      </c>
      <c r="D9" s="9">
        <v>51</v>
      </c>
      <c r="E9" s="9">
        <v>216</v>
      </c>
      <c r="F9" s="9">
        <v>258</v>
      </c>
      <c r="G9" s="9">
        <v>77</v>
      </c>
    </row>
    <row r="10" spans="1:9" x14ac:dyDescent="0.3">
      <c r="A10" s="13">
        <v>8</v>
      </c>
      <c r="B10" s="9">
        <v>589</v>
      </c>
      <c r="C10" s="9">
        <v>422</v>
      </c>
      <c r="D10" s="9">
        <v>217</v>
      </c>
      <c r="E10" s="9">
        <v>201</v>
      </c>
      <c r="F10" s="9">
        <v>147</v>
      </c>
      <c r="G10" s="9">
        <v>56</v>
      </c>
    </row>
    <row r="11" spans="1:9" x14ac:dyDescent="0.3">
      <c r="A11" s="13">
        <v>9</v>
      </c>
      <c r="B11" s="9">
        <v>410</v>
      </c>
      <c r="C11" s="9">
        <v>213</v>
      </c>
      <c r="D11" s="9">
        <v>36</v>
      </c>
      <c r="E11" s="9">
        <v>589</v>
      </c>
      <c r="F11" s="9">
        <v>255</v>
      </c>
    </row>
    <row r="12" spans="1:9" x14ac:dyDescent="0.3">
      <c r="A12" s="13">
        <v>10</v>
      </c>
      <c r="B12" s="9">
        <v>351</v>
      </c>
      <c r="C12" s="9">
        <v>1007</v>
      </c>
      <c r="E12" s="9">
        <v>48</v>
      </c>
      <c r="F12" s="9">
        <v>616</v>
      </c>
    </row>
    <row r="13" spans="1:9" x14ac:dyDescent="0.3">
      <c r="A13" s="13">
        <v>11</v>
      </c>
      <c r="B13" s="9">
        <v>102</v>
      </c>
      <c r="C13" s="9">
        <v>123</v>
      </c>
      <c r="E13" s="9">
        <v>251</v>
      </c>
      <c r="F13" s="9">
        <v>588</v>
      </c>
    </row>
    <row r="14" spans="1:9" x14ac:dyDescent="0.3">
      <c r="A14" s="13">
        <v>12</v>
      </c>
      <c r="B14" s="9">
        <v>2452</v>
      </c>
      <c r="C14" s="9">
        <v>85</v>
      </c>
      <c r="E14" s="9">
        <v>32</v>
      </c>
      <c r="F14" s="9">
        <v>213</v>
      </c>
    </row>
    <row r="15" spans="1:9" x14ac:dyDescent="0.3">
      <c r="A15" s="13">
        <v>13</v>
      </c>
      <c r="B15" s="9">
        <v>365</v>
      </c>
      <c r="C15" s="9">
        <v>66</v>
      </c>
      <c r="E15" s="9">
        <v>200</v>
      </c>
    </row>
    <row r="16" spans="1:9" x14ac:dyDescent="0.3">
      <c r="A16" s="13">
        <v>14</v>
      </c>
      <c r="B16" s="9">
        <v>155</v>
      </c>
      <c r="C16" s="9">
        <v>109</v>
      </c>
      <c r="E16" s="9">
        <v>411</v>
      </c>
    </row>
    <row r="17" spans="1:8" x14ac:dyDescent="0.3">
      <c r="A17" s="13">
        <v>15</v>
      </c>
      <c r="B17" s="9">
        <v>41</v>
      </c>
      <c r="C17" s="9">
        <v>265</v>
      </c>
      <c r="E17" s="9">
        <v>251</v>
      </c>
    </row>
    <row r="18" spans="1:8" ht="15" thickBot="1" x14ac:dyDescent="0.35">
      <c r="A18" s="14">
        <v>16</v>
      </c>
      <c r="B18" s="10">
        <v>141</v>
      </c>
      <c r="C18" s="10">
        <v>401</v>
      </c>
    </row>
    <row r="19" spans="1:8" x14ac:dyDescent="0.3">
      <c r="A19" s="16" t="s">
        <v>25</v>
      </c>
      <c r="B19" s="16">
        <v>26288</v>
      </c>
      <c r="C19" s="16">
        <v>30240</v>
      </c>
      <c r="D19" s="16">
        <v>1411</v>
      </c>
      <c r="E19" s="16">
        <v>14567</v>
      </c>
      <c r="F19" s="16">
        <v>7027</v>
      </c>
      <c r="G19" s="16">
        <v>1034</v>
      </c>
    </row>
    <row r="20" spans="1:8" x14ac:dyDescent="0.3">
      <c r="A20" s="13" t="s">
        <v>26</v>
      </c>
      <c r="B20" s="19">
        <v>0.32628743778470093</v>
      </c>
      <c r="C20" s="19">
        <v>0.37533977931411122</v>
      </c>
      <c r="D20" s="19">
        <v>1.7513373962044013E-2</v>
      </c>
      <c r="E20" s="19">
        <v>0.18080603721126515</v>
      </c>
      <c r="F20" s="19">
        <v>8.721933297752181E-2</v>
      </c>
      <c r="G20" s="19">
        <v>1.2834038750356845E-2</v>
      </c>
      <c r="H20" s="20"/>
    </row>
    <row r="21" spans="1:8" x14ac:dyDescent="0.3">
      <c r="A21" s="13" t="s">
        <v>27</v>
      </c>
      <c r="B21" s="19">
        <v>0.72704473242654677</v>
      </c>
      <c r="C21" s="20"/>
      <c r="D21" s="20"/>
      <c r="E21" s="20"/>
      <c r="F21" s="20"/>
      <c r="G21" s="20"/>
      <c r="H21" s="20"/>
    </row>
  </sheetData>
  <sheetProtection sheet="1" objects="1" scenarios="1"/>
  <mergeCells count="1">
    <mergeCell ref="B1:G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suma_w_okregu">
                <anchor moveWithCells="1" siz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525780</xdr:colOff>
                    <xdr:row>24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53DCD-1110-45E4-9B28-49BC15347628}">
  <sheetPr codeName="Arkusz31"/>
  <dimension ref="A1:I18"/>
  <sheetViews>
    <sheetView tabSelected="1" workbookViewId="0">
      <selection activeCell="J19" sqref="J19"/>
    </sheetView>
  </sheetViews>
  <sheetFormatPr defaultRowHeight="14.4" x14ac:dyDescent="0.3"/>
  <cols>
    <col min="1" max="1" width="17.77734375" style="7" customWidth="1"/>
    <col min="2" max="7" width="8.77734375" style="7" customWidth="1"/>
    <col min="8" max="8" width="14.109375" style="7" bestFit="1" customWidth="1"/>
    <col min="9" max="9" width="8.77734375" style="7" customWidth="1"/>
    <col min="10" max="16384" width="8.88671875" style="7"/>
  </cols>
  <sheetData>
    <row r="1" spans="1:9" x14ac:dyDescent="0.3">
      <c r="B1" s="12" t="s">
        <v>24</v>
      </c>
      <c r="C1" s="12"/>
      <c r="D1" s="12"/>
      <c r="E1" s="12"/>
      <c r="F1" s="12"/>
      <c r="G1" s="12"/>
      <c r="H1" s="13" t="s">
        <v>28</v>
      </c>
      <c r="I1" s="13">
        <v>2615</v>
      </c>
    </row>
    <row r="2" spans="1:9" x14ac:dyDescent="0.3">
      <c r="A2" s="13" t="s">
        <v>29</v>
      </c>
      <c r="B2" s="13">
        <v>1</v>
      </c>
      <c r="C2" s="13">
        <v>2</v>
      </c>
      <c r="D2" s="13">
        <v>3</v>
      </c>
      <c r="E2" s="13">
        <v>4</v>
      </c>
      <c r="F2" s="13">
        <v>5</v>
      </c>
      <c r="G2" s="13">
        <v>6</v>
      </c>
    </row>
    <row r="3" spans="1:9" x14ac:dyDescent="0.3">
      <c r="A3" s="13">
        <v>1</v>
      </c>
      <c r="B3" s="11">
        <v>25421</v>
      </c>
      <c r="C3" s="11">
        <v>23785</v>
      </c>
      <c r="D3" s="11">
        <v>1556</v>
      </c>
      <c r="E3" s="11">
        <v>10821</v>
      </c>
      <c r="F3" s="11">
        <v>5575</v>
      </c>
      <c r="G3" s="11">
        <v>0</v>
      </c>
    </row>
    <row r="4" spans="1:9" x14ac:dyDescent="0.3">
      <c r="A4" s="13">
        <v>2</v>
      </c>
      <c r="B4" s="11">
        <v>17212</v>
      </c>
      <c r="C4" s="11">
        <v>19443</v>
      </c>
      <c r="D4" s="11">
        <v>641</v>
      </c>
      <c r="E4" s="11">
        <v>8129</v>
      </c>
      <c r="F4" s="11">
        <v>2709</v>
      </c>
      <c r="G4" s="11">
        <v>5965</v>
      </c>
    </row>
    <row r="5" spans="1:9" ht="15" thickBot="1" x14ac:dyDescent="0.35">
      <c r="A5" s="14">
        <v>3</v>
      </c>
      <c r="B5" s="15">
        <v>26288</v>
      </c>
      <c r="C5" s="15">
        <v>30240</v>
      </c>
      <c r="D5" s="15">
        <v>1411</v>
      </c>
      <c r="E5" s="15">
        <v>14567</v>
      </c>
      <c r="F5" s="15">
        <v>7027</v>
      </c>
      <c r="G5" s="15">
        <v>1034</v>
      </c>
    </row>
    <row r="6" spans="1:9" x14ac:dyDescent="0.3">
      <c r="A6" s="16" t="s">
        <v>25</v>
      </c>
      <c r="B6" s="16">
        <v>68921</v>
      </c>
      <c r="C6" s="16">
        <v>73468</v>
      </c>
      <c r="D6" s="16">
        <v>3608</v>
      </c>
      <c r="E6" s="16">
        <v>33517</v>
      </c>
      <c r="F6" s="16">
        <v>15311</v>
      </c>
      <c r="G6" s="16">
        <v>6999</v>
      </c>
    </row>
    <row r="7" spans="1:9" x14ac:dyDescent="0.3">
      <c r="A7" s="13" t="s">
        <v>26</v>
      </c>
      <c r="B7" s="21">
        <v>0.34149060567623274</v>
      </c>
      <c r="C7" s="21">
        <v>0.36402013635642938</v>
      </c>
      <c r="D7" s="19">
        <v>1.7876962105596955E-2</v>
      </c>
      <c r="E7" s="21">
        <v>0.16607043760900586</v>
      </c>
      <c r="F7" s="21">
        <v>7.5863128270175995E-2</v>
      </c>
      <c r="G7" s="21">
        <v>3.467872998255906E-2</v>
      </c>
    </row>
    <row r="8" spans="1:9" x14ac:dyDescent="0.3">
      <c r="A8" s="13" t="s">
        <v>27</v>
      </c>
      <c r="B8" s="19">
        <v>0.69344372949999489</v>
      </c>
      <c r="C8" s="22"/>
      <c r="D8" s="22"/>
      <c r="E8" s="22"/>
      <c r="F8" s="22"/>
      <c r="G8" s="22"/>
    </row>
    <row r="12" spans="1:9" x14ac:dyDescent="0.3">
      <c r="A12" s="7" t="s">
        <v>32</v>
      </c>
      <c r="B12" s="23" t="s">
        <v>24</v>
      </c>
      <c r="C12" s="23"/>
      <c r="D12" s="23"/>
      <c r="E12" s="23"/>
      <c r="F12" s="23"/>
      <c r="G12" s="23"/>
    </row>
    <row r="13" spans="1:9" x14ac:dyDescent="0.3">
      <c r="A13" s="24" t="s">
        <v>29</v>
      </c>
      <c r="B13" s="24">
        <v>1</v>
      </c>
      <c r="C13" s="24">
        <v>2</v>
      </c>
      <c r="D13" s="24">
        <v>3</v>
      </c>
      <c r="E13" s="24">
        <v>4</v>
      </c>
      <c r="F13" s="24">
        <v>5</v>
      </c>
      <c r="G13" s="24">
        <v>6</v>
      </c>
    </row>
    <row r="14" spans="1:9" x14ac:dyDescent="0.3">
      <c r="A14" s="24">
        <v>1</v>
      </c>
      <c r="B14" s="25">
        <v>3</v>
      </c>
      <c r="C14" s="25">
        <v>3</v>
      </c>
      <c r="D14" s="26">
        <v>0</v>
      </c>
      <c r="E14" s="25">
        <v>1</v>
      </c>
      <c r="F14" s="26">
        <v>0</v>
      </c>
      <c r="G14" s="26">
        <v>0</v>
      </c>
    </row>
    <row r="15" spans="1:9" x14ac:dyDescent="0.3">
      <c r="A15" s="24">
        <v>2</v>
      </c>
      <c r="B15" s="25">
        <v>2</v>
      </c>
      <c r="C15" s="25">
        <v>2</v>
      </c>
      <c r="D15" s="26">
        <v>0</v>
      </c>
      <c r="E15" s="25">
        <v>1</v>
      </c>
      <c r="F15" s="26">
        <v>0</v>
      </c>
      <c r="G15" s="26">
        <v>0</v>
      </c>
    </row>
    <row r="16" spans="1:9" ht="15" thickBot="1" x14ac:dyDescent="0.35">
      <c r="A16" s="28">
        <v>3</v>
      </c>
      <c r="B16" s="29">
        <v>3</v>
      </c>
      <c r="C16" s="29">
        <v>4</v>
      </c>
      <c r="D16" s="30">
        <v>0</v>
      </c>
      <c r="E16" s="29">
        <v>1</v>
      </c>
      <c r="F16" s="30">
        <v>0</v>
      </c>
      <c r="G16" s="30">
        <v>0</v>
      </c>
    </row>
    <row r="17" spans="1:7" x14ac:dyDescent="0.3">
      <c r="A17" s="31" t="s">
        <v>30</v>
      </c>
      <c r="B17" s="32">
        <v>8</v>
      </c>
      <c r="C17" s="32">
        <v>9</v>
      </c>
      <c r="D17" s="33">
        <v>0</v>
      </c>
      <c r="E17" s="32">
        <v>3</v>
      </c>
      <c r="F17" s="33">
        <v>0</v>
      </c>
      <c r="G17" s="33">
        <v>0</v>
      </c>
    </row>
    <row r="18" spans="1:7" x14ac:dyDescent="0.3">
      <c r="A18" s="24" t="s">
        <v>31</v>
      </c>
      <c r="B18" s="27">
        <v>0.4</v>
      </c>
      <c r="C18" s="27">
        <v>0.45</v>
      </c>
      <c r="D18" s="27">
        <v>0</v>
      </c>
      <c r="E18" s="27">
        <v>0.15</v>
      </c>
      <c r="F18" s="27">
        <v>0</v>
      </c>
      <c r="G18" s="27">
        <v>0</v>
      </c>
    </row>
  </sheetData>
  <sheetProtection sheet="1" objects="1" scenarios="1"/>
  <mergeCells count="2">
    <mergeCell ref="B1:G1"/>
    <mergeCell ref="B12:G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pobieranie_wynikow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10</xdr:col>
                    <xdr:colOff>304800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4" name="Button 2">
              <controlPr defaultSize="0" print="0" autoFill="0" autoPict="0" macro="[0]!mandaty_dHondt">
                <anchor moveWithCells="1" siz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10</xdr:col>
                    <xdr:colOff>312420</xdr:colOff>
                    <xdr:row>13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5" name="Button 3">
              <controlPr defaultSize="0" print="0" autoFill="0" autoPict="0" macro="[0]!mandaty_Sainte_Lague">
                <anchor moveWithCells="1" siz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13</xdr:col>
                    <xdr:colOff>304800</xdr:colOff>
                    <xdr:row>13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start</vt:lpstr>
      <vt:lpstr>Dane wejściowe</vt:lpstr>
      <vt:lpstr>Okręg nr 1</vt:lpstr>
      <vt:lpstr>Okręg nr 2</vt:lpstr>
      <vt:lpstr>Okręg nr 3</vt:lpstr>
      <vt:lpstr>Wyniki zbiorcze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Paweł Kazimierczyk</dc:creator>
  <cp:lastModifiedBy>Paweł</cp:lastModifiedBy>
  <dcterms:created xsi:type="dcterms:W3CDTF">2018-10-14T12:50:45Z</dcterms:created>
  <dcterms:modified xsi:type="dcterms:W3CDTF">2019-10-29T10:01:47Z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d9141fab-ae4b-4988-84e7-08e8e789f255</vt:lpwstr>
  </property>
</Properties>
</file>